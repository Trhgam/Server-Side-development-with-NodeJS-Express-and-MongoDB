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locnguyen/Downloads/"/>
    </mc:Choice>
  </mc:AlternateContent>
  <xr:revisionPtr revIDLastSave="0" documentId="13_ncr:1_{ECCB48B9-B3D5-1E4B-83C2-2E353544C891}" xr6:coauthVersionLast="47" xr6:coauthVersionMax="47" xr10:uidLastSave="{00000000-0000-0000-0000-000000000000}"/>
  <bookViews>
    <workbookView xWindow="0" yWindow="660" windowWidth="30240" windowHeight="16620" firstSheet="1" activeTab="15" xr2:uid="{00000000-000D-0000-FFFF-FFFF00000000}"/>
  </bookViews>
  <sheets>
    <sheet name="Summary" sheetId="1" r:id="rId1"/>
    <sheet name="DE190260" sheetId="2" r:id="rId2"/>
    <sheet name="SE170502" sheetId="3" r:id="rId3"/>
    <sheet name="SE180035" sheetId="4" r:id="rId4"/>
    <sheet name="SE180644" sheetId="5" r:id="rId5"/>
    <sheet name="SE181598" sheetId="6" r:id="rId6"/>
    <sheet name="SE181813" sheetId="7" r:id="rId7"/>
    <sheet name="SE181964" sheetId="8" r:id="rId8"/>
    <sheet name="SE182136" sheetId="9" r:id="rId9"/>
    <sheet name="SE182306" sheetId="10" r:id="rId10"/>
    <sheet name="SE182374" sheetId="11" r:id="rId11"/>
    <sheet name="SE183061" sheetId="12" r:id="rId12"/>
    <sheet name="SE183175" sheetId="13" r:id="rId13"/>
    <sheet name="SE184045" sheetId="14" r:id="rId14"/>
    <sheet name="SE184158" sheetId="15" r:id="rId15"/>
    <sheet name="SE184327" sheetId="16" r:id="rId16"/>
    <sheet name="SE184426" sheetId="17" r:id="rId17"/>
    <sheet name="SE190024" sheetId="18" r:id="rId18"/>
    <sheet name="SE190668" sheetId="19" r:id="rId19"/>
    <sheet name="SE190703" sheetId="20" r:id="rId20"/>
    <sheet name="SE192211" sheetId="21" r:id="rId21"/>
    <sheet name="SE192324" sheetId="22" r:id="rId22"/>
    <sheet name="SE192966" sheetId="23" r:id="rId23"/>
    <sheet name="SE193254" sheetId="24" r:id="rId24"/>
    <sheet name="SE194171" sheetId="25" r:id="rId25"/>
    <sheet name="SE194229" sheetId="26" r:id="rId26"/>
    <sheet name="SE194776" sheetId="27" r:id="rId27"/>
    <sheet name="SE196211" sheetId="28" r:id="rId28"/>
    <sheet name="SE196429" sheetId="29" r:id="rId29"/>
    <sheet name="SE196600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0" l="1"/>
  <c r="B19" i="30"/>
  <c r="C19" i="29"/>
  <c r="B19" i="29"/>
  <c r="C19" i="28"/>
  <c r="B19" i="28"/>
  <c r="C19" i="27"/>
  <c r="B19" i="27"/>
  <c r="C19" i="26"/>
  <c r="B19" i="26"/>
  <c r="C19" i="25"/>
  <c r="C29" i="1" s="1"/>
  <c r="B19" i="25"/>
  <c r="C19" i="24"/>
  <c r="B19" i="24"/>
  <c r="C19" i="23"/>
  <c r="B19" i="23"/>
  <c r="C19" i="22"/>
  <c r="B19" i="22"/>
  <c r="C19" i="21"/>
  <c r="C25" i="1" s="1"/>
  <c r="B19" i="21"/>
  <c r="C19" i="20"/>
  <c r="B19" i="20"/>
  <c r="C19" i="19"/>
  <c r="B19" i="19"/>
  <c r="C19" i="18"/>
  <c r="B19" i="18"/>
  <c r="C19" i="17"/>
  <c r="B19" i="17"/>
  <c r="C19" i="16"/>
  <c r="B19" i="16"/>
  <c r="C19" i="15"/>
  <c r="C19" i="1" s="1"/>
  <c r="B19" i="15"/>
  <c r="C19" i="14"/>
  <c r="B19" i="14"/>
  <c r="C19" i="13"/>
  <c r="B19" i="13"/>
  <c r="C19" i="12"/>
  <c r="B19" i="12"/>
  <c r="C19" i="11"/>
  <c r="C15" i="1" s="1"/>
  <c r="B19" i="11"/>
  <c r="C19" i="10"/>
  <c r="B19" i="10"/>
  <c r="C19" i="9"/>
  <c r="B19" i="9"/>
  <c r="C19" i="8"/>
  <c r="B19" i="8"/>
  <c r="C19" i="7"/>
  <c r="B19" i="7"/>
  <c r="C19" i="6"/>
  <c r="B19" i="6"/>
  <c r="C19" i="5"/>
  <c r="C9" i="1" s="1"/>
  <c r="B19" i="5"/>
  <c r="C19" i="4"/>
  <c r="B19" i="4"/>
  <c r="C19" i="3"/>
  <c r="B19" i="3"/>
  <c r="C19" i="2"/>
  <c r="B19" i="2"/>
  <c r="C37" i="1"/>
  <c r="C34" i="1"/>
  <c r="C33" i="1"/>
  <c r="C32" i="1"/>
  <c r="C31" i="1"/>
  <c r="C30" i="1"/>
  <c r="C28" i="1"/>
  <c r="C27" i="1"/>
  <c r="C26" i="1"/>
  <c r="C24" i="1"/>
  <c r="C23" i="1"/>
  <c r="C22" i="1"/>
  <c r="C21" i="1"/>
  <c r="C20" i="1"/>
  <c r="C18" i="1"/>
  <c r="C17" i="1"/>
  <c r="C16" i="1"/>
  <c r="C14" i="1"/>
  <c r="C13" i="1"/>
  <c r="C12" i="1"/>
  <c r="C11" i="1"/>
  <c r="C10" i="1"/>
  <c r="C8" i="1"/>
  <c r="C7" i="1"/>
  <c r="C6" i="1"/>
  <c r="C36" i="1" l="1"/>
</calcChain>
</file>

<file path=xl/sharedStrings.xml><?xml version="1.0" encoding="utf-8"?>
<sst xmlns="http://schemas.openxmlformats.org/spreadsheetml/2006/main" count="1140" uniqueCount="238">
  <si>
    <t>SDN302 Lab01 - Grades</t>
  </si>
  <si>
    <t>Source review and isolated handler checks. Live MongoDB data/import not verified.</t>
  </si>
  <si>
    <t>Student ID</t>
  </si>
  <si>
    <t>Student name (submission)</t>
  </si>
  <si>
    <t>Score / 10</t>
  </si>
  <si>
    <t>Main feedback</t>
  </si>
  <si>
    <t>DE190260</t>
  </si>
  <si>
    <t>Kien Tran Ngoc Trung</t>
  </si>
  <si>
    <t>All rubric features are present in the source.</t>
  </si>
  <si>
    <t>SE170502</t>
  </si>
  <si>
    <t>Long Le Ngoc</t>
  </si>
  <si>
    <t>Product create/update ignore isActive.</t>
  </si>
  <si>
    <t>SE180035</t>
  </si>
  <si>
    <t>Truong Hoang Dan</t>
  </si>
  <si>
    <t>SE180644</t>
  </si>
  <si>
    <t>Quan Tran Minh</t>
  </si>
  <si>
    <t>SE181598</t>
  </si>
  <si>
    <t>Cuong Nguyen Manh</t>
  </si>
  <si>
    <t>SE181813</t>
  </si>
  <si>
    <t>Hieu Nguyen Trung</t>
  </si>
  <si>
    <t>Missing model import and incorrect route handlers prevent loading; product endpoints are absent.</t>
  </si>
  <si>
    <t>SE181964</t>
  </si>
  <si>
    <t>Phat Vo Le Duc</t>
  </si>
  <si>
    <t>Package name must be the student ID.</t>
  </si>
  <si>
    <t>SE182136</t>
  </si>
  <si>
    <t>An Tran Thien</t>
  </si>
  <si>
    <t>Missing virtual population and supplier-name population; no default pagination limit.</t>
  </si>
  <si>
    <t>SE182306</t>
  </si>
  <si>
    <t>Tin Tran Xuan</t>
  </si>
  <si>
    <t>Package name must be the student ID alone.</t>
  </si>
  <si>
    <t>SE182374</t>
  </si>
  <si>
    <t>Dat Phan Thanh</t>
  </si>
  <si>
    <t>SE183061</t>
  </si>
  <si>
    <t>Vo Thanh Tan (K18 HCM)</t>
  </si>
  <si>
    <t>Missing supplier details, virtual population, most product operations, filters and pagination.</t>
  </si>
  <si>
    <t>SE183175</t>
  </si>
  <si>
    <t>Bach Nguyen Phan Huy</t>
  </si>
  <si>
    <t>SE184045</t>
  </si>
  <si>
    <t>Quan Nguyen Anh</t>
  </si>
  <si>
    <t>Product router is not mounted. Package name belongs to a different student ID.</t>
  </si>
  <si>
    <t>SE184158</t>
  </si>
  <si>
    <t>Hoang Dao Huy</t>
  </si>
  <si>
    <t>SE184327</t>
  </si>
  <si>
    <t>Quang Le Nhat</t>
  </si>
  <si>
    <t>SE184426</t>
  </si>
  <si>
    <t>Huynh Tuan Hoang (K18 HCM)</t>
  </si>
  <si>
    <t>SE190024</t>
  </si>
  <si>
    <t>Tam Tran Binh</t>
  </si>
  <si>
    <t>SE190668</t>
  </si>
  <si>
    <t>Anh Vo Tran The</t>
  </si>
  <si>
    <t>No Generator scaffold; wrong project name; product deletion missing. Verify collection names.</t>
  </si>
  <si>
    <t>SE190703</t>
  </si>
  <si>
    <t>Gam Tran Thi Hong</t>
  </si>
  <si>
    <t>Supplier email and product stock/isActive are omitted from schemas.</t>
  </si>
  <si>
    <t>SE192211</t>
  </si>
  <si>
    <t>Khoa Pham Dang</t>
  </si>
  <si>
    <t>Supplier schema omits email, affecting creation and updates.</t>
  </si>
  <si>
    <t>SE192324</t>
  </si>
  <si>
    <t>Anh Nguyen Chau Nhat</t>
  </si>
  <si>
    <t>Missing price/tags/search/sort; supplier email/phone and product stock/isActive are omitted.</t>
  </si>
  <si>
    <t>SE192966</t>
  </si>
  <si>
    <t>Quang Trinh Nhat</t>
  </si>
  <si>
    <t>SE193254</t>
  </si>
  <si>
    <t>Thang Phan Van Ngoc</t>
  </si>
  <si>
    <t>SE194171</t>
  </si>
  <si>
    <t>Khai Nguyen Manh</t>
  </si>
  <si>
    <t>SE194229</t>
  </si>
  <si>
    <t>Sang Tran Minh</t>
  </si>
  <si>
    <t>Invalid supplier schema, incomplete route wiring, response/deletion bugs; product delete missing.</t>
  </si>
  <si>
    <t>SE194776</t>
  </si>
  <si>
    <t>Anh Truong Ngoc Tuan</t>
  </si>
  <si>
    <t>Product creation omits required stock and ignores isActive.</t>
  </si>
  <si>
    <t>SE196211</t>
  </si>
  <si>
    <t>Kha Thai Cong</t>
  </si>
  <si>
    <t>SE196429</t>
  </si>
  <si>
    <t>Trinh Dao Thi Ut</t>
  </si>
  <si>
    <t>Package name is lab1. Verify uppercase collection names and MONGO_URI setting.</t>
  </si>
  <si>
    <t>SE196600</t>
  </si>
  <si>
    <t>Hung Le Tan</t>
  </si>
  <si>
    <t>Product create, update and delete are missing.</t>
  </si>
  <si>
    <t>Class average</t>
  </si>
  <si>
    <t>Submissions graded</t>
  </si>
  <si>
    <t>Open a student-ID tab for the full table. Marking Notes explains partial credit and review limits.</t>
  </si>
  <si>
    <t>DE190260 - Lab01</t>
  </si>
  <si>
    <t>Source-based assessment. See Marking Notes for scope and partial-credit rules.</t>
  </si>
  <si>
    <t>Requirement</t>
  </si>
  <si>
    <t>Maximum</t>
  </si>
  <si>
    <t>Awarded</t>
  </si>
  <si>
    <t>Assessment</t>
  </si>
  <si>
    <t>Express Generator project</t>
  </si>
  <si>
    <t>Generator-style structure and matching student ID.</t>
  </si>
  <si>
    <t>Supplier CRUD operations</t>
  </si>
  <si>
    <t>All five supplier operations are implemented and wired.</t>
  </si>
  <si>
    <t>Supplier virtual population</t>
  </si>
  <si>
    <t>products virtual and population are implemented.</t>
  </si>
  <si>
    <t>Category filter</t>
  </si>
  <si>
    <t>Category filter is implemented.</t>
  </si>
  <si>
    <t>Minimum/maximum price filter</t>
  </si>
  <si>
    <t>Minimum and maximum price filters work together.</t>
  </si>
  <si>
    <t>Tags filter</t>
  </si>
  <si>
    <t>Tags filtering is implemented.</t>
  </si>
  <si>
    <t>Product-name search</t>
  </si>
  <si>
    <t>Case-insensitive product-name search is implemented.</t>
  </si>
  <si>
    <t>Sort by price</t>
  </si>
  <si>
    <t>Ascending and descending price sorting are implemented.</t>
  </si>
  <si>
    <t>Pagination; default limit 3</t>
  </si>
  <si>
    <t>Page/limit pagination is implemented; default limit is 3.</t>
  </si>
  <si>
    <t>Product details with supplier name</t>
  </si>
  <si>
    <t>Product details populate the supplier name.</t>
  </si>
  <si>
    <t>Create product</t>
  </si>
  <si>
    <t>Product creation includes a supplier reference.</t>
  </si>
  <si>
    <t>Update product</t>
  </si>
  <si>
    <t>Product update by ID is implemented.</t>
  </si>
  <si>
    <t>Delete product</t>
  </si>
  <si>
    <t>Product deletion by ID is implemented.</t>
  </si>
  <si>
    <t>Total</t>
  </si>
  <si>
    <t>Review notes</t>
  </si>
  <si>
    <t>Generator-style app/bin/www structure with matching project name. All rubric features are present.</t>
  </si>
  <si>
    <t>SE170502 - Lab01</t>
  </si>
  <si>
    <t>Creates a product with supplier reference, but ignores submitted isActive.</t>
  </si>
  <si>
    <t>Updates product fields, but ignores isActive changes.</t>
  </si>
  <si>
    <t>Supplier creation requires a client-supplied _id. Virtual population uses lean(), so toJSON virtuals are not needed.</t>
  </si>
  <si>
    <t>SE180035 - Lab01</t>
  </si>
  <si>
    <t>All rubric features are present in the submitted source.</t>
  </si>
  <si>
    <t>SE180644 - Lab01</t>
  </si>
  <si>
    <t>Missing-record responses could be improved; the rubric does not allocate marks to this error handling.</t>
  </si>
  <si>
    <t>SE181598 - Lab01</t>
  </si>
  <si>
    <t>Endpoints use /api/products and /api/suppliers. Search uses name; sort accepts price_asc/price_desc.</t>
  </si>
  <si>
    <t>SE181813 - Lab01</t>
  </si>
  <si>
    <t>Five controller operations exist, but import ../models/supplier.model does not match suppliers.model.js. Write routes pass the controller object instead of functions; DELETE path is also malformed. Half credit for implemented logic.</t>
  </si>
  <si>
    <t>No virtual products definition or population.</t>
  </si>
  <si>
    <t>No product list endpoint.</t>
  </si>
  <si>
    <t>No product price filtering.</t>
  </si>
  <si>
    <t>No product tags filtering.</t>
  </si>
  <si>
    <t>No product-name search.</t>
  </si>
  <si>
    <t>No product price sorting.</t>
  </si>
  <si>
    <t>No product pagination.</t>
  </si>
  <si>
    <t>No product details endpoint.</t>
  </si>
  <si>
    <t>No product creation endpoint.</t>
  </si>
  <si>
    <t>No product update endpoint.</t>
  </si>
  <si>
    <t>No product deletion endpoint.</t>
  </si>
  <si>
    <t>Application cannot load as submitted due to the missing model import. Product model exists without product routes/controllers.</t>
  </si>
  <si>
    <t>SE181964 - Lab01</t>
  </si>
  <si>
    <t>Generator scaffold exists, but package name is lab1_sdn302 instead of se181964.</t>
  </si>
  <si>
    <t>All API rubric features are present. Project naming needs correction.</t>
  </si>
  <si>
    <t>SE182136 - Lab01</t>
  </si>
  <si>
    <t>No virtual products definition or virtual population.</t>
  </si>
  <si>
    <t>Explicit page/limit works. Default limit 3 is missing, and page alone is ignored.</t>
  </si>
  <si>
    <t>Finds product by ID but does not populate supplier name.</t>
  </si>
  <si>
    <t>The submission matches the previously assessed implementation; score remains 8.00/10.</t>
  </si>
  <si>
    <t>SE182306 - Lab01</t>
  </si>
  <si>
    <t>Generator scaffold exists, but package name is lab-1-tran-xuan-tin-se182306 instead of the student ID alone.</t>
  </si>
  <si>
    <t>Endpoints use /api/products and /api/suppliers. Startup also invokes the included seed routine.</t>
  </si>
  <si>
    <t>SE182374 - Lab01</t>
  </si>
  <si>
    <t>Supplier deletion rejects suppliers still referenced by products. Unreferenced suppliers can be deleted; this extra guard was not penalized.</t>
  </si>
  <si>
    <t>SE183061 - Lab01</t>
  </si>
  <si>
    <t>Custom Express application; no Express Generator scaffold. Package name is lab1-se183061.</t>
  </si>
  <si>
    <t>List, create, update and delete implemented; supplier details by ID is missing.</t>
  </si>
  <si>
    <t>No products virtual or population.</t>
  </si>
  <si>
    <t>Category filter missing.</t>
  </si>
  <si>
    <t>Price-range filter missing.</t>
  </si>
  <si>
    <t>Tags filter missing.</t>
  </si>
  <si>
    <t>No page/limit pagination.</t>
  </si>
  <si>
    <t>Product details endpoint missing.</t>
  </si>
  <si>
    <t>Product creation endpoint missing.</t>
  </si>
  <si>
    <t>Product update endpoint missing.</t>
  </si>
  <si>
    <t>Product deletion endpoint missing.</t>
  </si>
  <si>
    <t>Uses MONGO_URI rather than MONGODB_URI and includes a hardcoded fallback connection string.</t>
  </si>
  <si>
    <t>SE183175 - Lab01</t>
  </si>
  <si>
    <t>Tags filtering supports one tag value; multi-tag syntax is not specified by the rubric. Sorting uses sort.</t>
  </si>
  <si>
    <t>SE184045 - Lab01</t>
  </si>
  <si>
    <t>Generator scaffold exists, but package name is se196600 rather than se184045.</t>
  </si>
  <si>
    <t>Filter implemented in routes/products.js, but the product router is never mounted in app.js (half credit).</t>
  </si>
  <si>
    <t>Price filters implemented, but the product router is never mounted (half credit).</t>
  </si>
  <si>
    <t>Tags filter implemented, but the product router is never mounted (half credit).</t>
  </si>
  <si>
    <t>Name search implemented, but the product router is never mounted (half credit).</t>
  </si>
  <si>
    <t>Price sort implemented, but the product router is never mounted (half credit).</t>
  </si>
  <si>
    <t>Pagination and default limit 3 implemented, but the product router is never mounted (half credit).</t>
  </si>
  <si>
    <t>Details and population implemented, but the product router is never mounted (half credit).</t>
  </si>
  <si>
    <t>Creation implemented, but the product router is never mounted (half credit).</t>
  </si>
  <si>
    <t>Update implemented, but the product router is never mounted (half credit).</t>
  </si>
  <si>
    <t>Deletion implemented, but the product router is never mounted (half credit).</t>
  </si>
  <si>
    <t>app.js mounts /suppliers only. Add the products router mount to expose all product operations.</t>
  </si>
  <si>
    <t>SE184158 - Lab01</t>
  </si>
  <si>
    <t>Search parameter is name; price sorting parameter is sort.</t>
  </si>
  <si>
    <t>SE184327 - Lab01</t>
  </si>
  <si>
    <t>SE184426 - Lab01</t>
  </si>
  <si>
    <t>Import script refers to a local Windows path; imported database was not verified.</t>
  </si>
  <si>
    <t>SE190024 - Lab01</t>
  </si>
  <si>
    <t>SE190668 - Lab01</t>
  </si>
  <si>
    <t>Custom Express project without Generator scaffold; package name is my-app.</t>
  </si>
  <si>
    <t>Product delete route/controller/service is missing.</t>
  </si>
  <si>
    <t>Models target Products/Suppliers rather than lowercase collections; verify imported collection names. Updates use PATCH; sorting uses sortBy=price with order.</t>
  </si>
  <si>
    <t>SE190703 - Lab01</t>
  </si>
  <si>
    <t>Supplier CRUD exists, but schema omits email, so create/update discard it (0.25 deducted each).</t>
  </si>
  <si>
    <t>Product creation ignores stock/isActive; both fields are also missing from the schema.</t>
  </si>
  <si>
    <t>Product update cannot persist stock/isActive because the schema omits them.</t>
  </si>
  <si>
    <t>Supplier phone is Number, which can lose leading zeroes. No extra deduction beyond incomplete supplier writes.</t>
  </si>
  <si>
    <t>SE192211 - Lab01</t>
  </si>
  <si>
    <t>All five supplier operations exist, but Supplier schema omits email, so create/update discard it (0.25 deducted each).</t>
  </si>
  <si>
    <t>Supplier schema has address instead of email.</t>
  </si>
  <si>
    <t>SE192324 - Lab01</t>
  </si>
  <si>
    <t>All five routes exist. Supplier schema omits email and phone, so create/update discard these fields (0.25 deducted each).</t>
  </si>
  <si>
    <t>Product-name search missing.</t>
  </si>
  <si>
    <t>Price sorting missing.</t>
  </si>
  <si>
    <t>Product creation exists, but the schema omits stock and isActive.</t>
  </si>
  <si>
    <t>Product update exists, but the schema omits stock and isActive.</t>
  </si>
  <si>
    <t>Supplier schema uses contact instead of email/phone. Product schema omits stock/isActive.</t>
  </si>
  <si>
    <t>SE192966 - Lab01</t>
  </si>
  <si>
    <t>SE193254 - Lab01</t>
  </si>
  <si>
    <t>SE194171 - Lab01</t>
  </si>
  <si>
    <t>SE194229 - Lab01</t>
  </si>
  <si>
    <t>Supplier schema uses typed instead of type for phone and fails to initialize. Create uses res.json(201).json(...); delete query is not awaited. Half credit for existing CRUD logic.</t>
  </si>
  <si>
    <t>Virtual definition and populate call exist, but schema initialization fails and Product is not registered by the mounted app (half credit).</t>
  </si>
  <si>
    <t>Category filter exists, but product router is neither exported nor mounted (half credit).</t>
  </si>
  <si>
    <t>Price filters exist, but product router is neither exported nor mounted (half credit).</t>
  </si>
  <si>
    <t>Tags filter exists, but product router is neither exported nor mounted (half credit).</t>
  </si>
  <si>
    <t>Name search exists, but product router is neither exported nor mounted (half credit).</t>
  </si>
  <si>
    <t>Price sort exists, but product router is neither exported nor mounted (half credit).</t>
  </si>
  <si>
    <t>Pagination/default limit 3 exists, but product router is neither exported nor mounted (half credit).</t>
  </si>
  <si>
    <t>Details/population code exists, but product router is neither exported nor mounted (half credit).</t>
  </si>
  <si>
    <t>Creation code exists, but product router is neither exported nor mounted (half credit).</t>
  </si>
  <si>
    <t>Update code exists, but product router is neither exported nor mounted (half credit).</t>
  </si>
  <si>
    <t>Product deletion is missing.</t>
  </si>
  <si>
    <t>Uses MONGO_URI rather than MONGODB_URI. Fix Supplier schema, router export/mount, response chaining and awaited deletion.</t>
  </si>
  <si>
    <t>SE194776 - Lab01</t>
  </si>
  <si>
    <t>POST omits required stock, so validation rejects creation even if stock was submitted. isActive is also ignored. Half credit for creation logic.</t>
  </si>
  <si>
    <t>Product create handler needs stock and isActive included in its payload.</t>
  </si>
  <si>
    <t>SE196211 - Lab01</t>
  </si>
  <si>
    <t>Sorting uses sortBy=price with order=desc, or sort=-price.</t>
  </si>
  <si>
    <t>SE196429 - Lab01</t>
  </si>
  <si>
    <t>Express Generator scaffold exists, but package name is lab1.</t>
  </si>
  <si>
    <t>Models explicitly target Products and Suppliers, not the specified lowercase collections. Uses MONGO_URI instead of MONGODB_URI; verify collection names before live marking. Price filtering requires both bounds; the stated two-bound requirement is met.</t>
  </si>
  <si>
    <t>SE196600 - Lab01</t>
  </si>
  <si>
    <t>No product POST route.</t>
  </si>
  <si>
    <t>No product update route.</t>
  </si>
  <si>
    <t>No product DELETE route.</t>
  </si>
  <si>
    <t>Product routes provide list and details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</si>
</sst>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35" customWidth="1"/>
    <col min="3" max="3" width="13" customWidth="1"/>
    <col min="4" max="4" width="88" customWidth="1"/>
  </cols>
  <sheetData>
    <row r="1" spans="1:4">
      <c r="A1" s="1"/>
      <c r="B1" s="1"/>
      <c r="C1" s="1"/>
      <c r="D1" s="1"/>
    </row>
    <row r="2" spans="1:4" ht="18">
      <c r="A2" s="2" t="s">
        <v>0</v>
      </c>
      <c r="B2" s="1"/>
      <c r="C2" s="1"/>
      <c r="D2" s="1"/>
    </row>
    <row r="3" spans="1:4">
      <c r="A3" s="1" t="s">
        <v>1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2</v>
      </c>
      <c r="B5" s="9" t="s">
        <v>3</v>
      </c>
      <c r="C5" s="9" t="s">
        <v>4</v>
      </c>
      <c r="D5" s="9" t="s">
        <v>5</v>
      </c>
    </row>
    <row r="6" spans="1:4" ht="34" customHeight="1">
      <c r="A6" s="5" t="s">
        <v>6</v>
      </c>
      <c r="B6" s="6" t="s">
        <v>7</v>
      </c>
      <c r="C6" s="7">
        <f>'DE190260'!C19</f>
        <v>10</v>
      </c>
      <c r="D6" s="6" t="s">
        <v>8</v>
      </c>
    </row>
    <row r="7" spans="1:4" ht="34" customHeight="1">
      <c r="A7" s="5" t="s">
        <v>9</v>
      </c>
      <c r="B7" s="6" t="s">
        <v>10</v>
      </c>
      <c r="C7" s="7">
        <f>'SE170502'!C19</f>
        <v>9.5</v>
      </c>
      <c r="D7" s="6" t="s">
        <v>11</v>
      </c>
    </row>
    <row r="8" spans="1:4" ht="34" customHeight="1">
      <c r="A8" s="5" t="s">
        <v>12</v>
      </c>
      <c r="B8" s="6" t="s">
        <v>13</v>
      </c>
      <c r="C8" s="7">
        <f>'SE180035'!C19</f>
        <v>10</v>
      </c>
      <c r="D8" s="6" t="s">
        <v>8</v>
      </c>
    </row>
    <row r="9" spans="1:4" ht="34" customHeight="1">
      <c r="A9" s="5" t="s">
        <v>14</v>
      </c>
      <c r="B9" s="6" t="s">
        <v>15</v>
      </c>
      <c r="C9" s="7">
        <f>'SE180644'!C19</f>
        <v>10</v>
      </c>
      <c r="D9" s="6" t="s">
        <v>8</v>
      </c>
    </row>
    <row r="10" spans="1:4" ht="34" customHeight="1">
      <c r="A10" s="5" t="s">
        <v>16</v>
      </c>
      <c r="B10" s="6" t="s">
        <v>17</v>
      </c>
      <c r="C10" s="7">
        <f>'SE181598'!C19</f>
        <v>10</v>
      </c>
      <c r="D10" s="6" t="s">
        <v>8</v>
      </c>
    </row>
    <row r="11" spans="1:4" ht="40" customHeight="1">
      <c r="A11" s="5" t="s">
        <v>18</v>
      </c>
      <c r="B11" s="6" t="s">
        <v>19</v>
      </c>
      <c r="C11" s="7">
        <f>'SE181813'!C19</f>
        <v>1.75</v>
      </c>
      <c r="D11" s="6" t="s">
        <v>20</v>
      </c>
    </row>
    <row r="12" spans="1:4" ht="34" customHeight="1">
      <c r="A12" s="5" t="s">
        <v>21</v>
      </c>
      <c r="B12" s="6" t="s">
        <v>22</v>
      </c>
      <c r="C12" s="7">
        <f>'SE181964'!C19</f>
        <v>9.75</v>
      </c>
      <c r="D12" s="6" t="s">
        <v>23</v>
      </c>
    </row>
    <row r="13" spans="1:4" ht="34" customHeight="1">
      <c r="A13" s="5" t="s">
        <v>24</v>
      </c>
      <c r="B13" s="6" t="s">
        <v>25</v>
      </c>
      <c r="C13" s="7">
        <f>'SE182136'!C19</f>
        <v>8</v>
      </c>
      <c r="D13" s="6" t="s">
        <v>26</v>
      </c>
    </row>
    <row r="14" spans="1:4" ht="34" customHeight="1">
      <c r="A14" s="5" t="s">
        <v>27</v>
      </c>
      <c r="B14" s="6" t="s">
        <v>28</v>
      </c>
      <c r="C14" s="7">
        <f>'SE182306'!C19</f>
        <v>9.75</v>
      </c>
      <c r="D14" s="6" t="s">
        <v>29</v>
      </c>
    </row>
    <row r="15" spans="1:4" ht="34" customHeight="1">
      <c r="A15" s="5" t="s">
        <v>30</v>
      </c>
      <c r="B15" s="6" t="s">
        <v>31</v>
      </c>
      <c r="C15" s="7">
        <f>'SE182374'!C19</f>
        <v>10</v>
      </c>
      <c r="D15" s="6" t="s">
        <v>8</v>
      </c>
    </row>
    <row r="16" spans="1:4" ht="40" customHeight="1">
      <c r="A16" s="5" t="s">
        <v>32</v>
      </c>
      <c r="B16" s="6" t="s">
        <v>33</v>
      </c>
      <c r="C16" s="7">
        <f>'SE183061'!C19</f>
        <v>3</v>
      </c>
      <c r="D16" s="6" t="s">
        <v>34</v>
      </c>
    </row>
    <row r="17" spans="1:4" ht="34" customHeight="1">
      <c r="A17" s="5" t="s">
        <v>35</v>
      </c>
      <c r="B17" s="6" t="s">
        <v>36</v>
      </c>
      <c r="C17" s="7">
        <f>'SE183175'!C19</f>
        <v>10</v>
      </c>
      <c r="D17" s="6" t="s">
        <v>8</v>
      </c>
    </row>
    <row r="18" spans="1:4" ht="34" customHeight="1">
      <c r="A18" s="5" t="s">
        <v>37</v>
      </c>
      <c r="B18" s="6" t="s">
        <v>38</v>
      </c>
      <c r="C18" s="7">
        <f>'SE184045'!C19</f>
        <v>6.75</v>
      </c>
      <c r="D18" s="6" t="s">
        <v>39</v>
      </c>
    </row>
    <row r="19" spans="1:4" ht="34" customHeight="1">
      <c r="A19" s="5" t="s">
        <v>40</v>
      </c>
      <c r="B19" s="6" t="s">
        <v>41</v>
      </c>
      <c r="C19" s="7">
        <f>'SE184158'!C19</f>
        <v>10</v>
      </c>
      <c r="D19" s="6" t="s">
        <v>8</v>
      </c>
    </row>
    <row r="20" spans="1:4" ht="34" customHeight="1">
      <c r="A20" s="5" t="s">
        <v>42</v>
      </c>
      <c r="B20" s="6" t="s">
        <v>43</v>
      </c>
      <c r="C20" s="7">
        <f>'SE184327'!C19</f>
        <v>10</v>
      </c>
      <c r="D20" s="6" t="s">
        <v>8</v>
      </c>
    </row>
    <row r="21" spans="1:4" ht="34" customHeight="1">
      <c r="A21" s="5" t="s">
        <v>44</v>
      </c>
      <c r="B21" s="6" t="s">
        <v>45</v>
      </c>
      <c r="C21" s="7">
        <f>'SE184426'!C19</f>
        <v>10</v>
      </c>
      <c r="D21" s="6" t="s">
        <v>8</v>
      </c>
    </row>
    <row r="22" spans="1:4" ht="34" customHeight="1">
      <c r="A22" s="5" t="s">
        <v>46</v>
      </c>
      <c r="B22" s="6" t="s">
        <v>47</v>
      </c>
      <c r="C22" s="7">
        <f>'SE190024'!C19</f>
        <v>10</v>
      </c>
      <c r="D22" s="6" t="s">
        <v>8</v>
      </c>
    </row>
    <row r="23" spans="1:4" ht="40" customHeight="1">
      <c r="A23" s="5" t="s">
        <v>48</v>
      </c>
      <c r="B23" s="6" t="s">
        <v>49</v>
      </c>
      <c r="C23" s="7">
        <f>'SE190668'!C19</f>
        <v>9</v>
      </c>
      <c r="D23" s="6" t="s">
        <v>50</v>
      </c>
    </row>
    <row r="24" spans="1:4" ht="34" customHeight="1">
      <c r="A24" s="5" t="s">
        <v>51</v>
      </c>
      <c r="B24" s="6" t="s">
        <v>52</v>
      </c>
      <c r="C24" s="7">
        <f>'SE190703'!C19</f>
        <v>9</v>
      </c>
      <c r="D24" s="6" t="s">
        <v>53</v>
      </c>
    </row>
    <row r="25" spans="1:4" ht="34" customHeight="1">
      <c r="A25" s="5" t="s">
        <v>54</v>
      </c>
      <c r="B25" s="6" t="s">
        <v>55</v>
      </c>
      <c r="C25" s="7">
        <f>'SE192211'!C19</f>
        <v>9.5</v>
      </c>
      <c r="D25" s="6" t="s">
        <v>56</v>
      </c>
    </row>
    <row r="26" spans="1:4" ht="40" customHeight="1">
      <c r="A26" s="5" t="s">
        <v>57</v>
      </c>
      <c r="B26" s="6" t="s">
        <v>58</v>
      </c>
      <c r="C26" s="7">
        <f>'SE192324'!C19</f>
        <v>7</v>
      </c>
      <c r="D26" s="6" t="s">
        <v>59</v>
      </c>
    </row>
    <row r="27" spans="1:4" ht="34" customHeight="1">
      <c r="A27" s="5" t="s">
        <v>60</v>
      </c>
      <c r="B27" s="6" t="s">
        <v>61</v>
      </c>
      <c r="C27" s="7">
        <f>'SE192966'!C19</f>
        <v>10</v>
      </c>
      <c r="D27" s="6" t="s">
        <v>8</v>
      </c>
    </row>
    <row r="28" spans="1:4" ht="40" customHeight="1">
      <c r="A28" s="5" t="s">
        <v>62</v>
      </c>
      <c r="B28" s="6" t="s">
        <v>63</v>
      </c>
      <c r="C28" s="7">
        <f>'SE193254'!C19</f>
        <v>9</v>
      </c>
      <c r="D28" s="6" t="s">
        <v>50</v>
      </c>
    </row>
    <row r="29" spans="1:4" ht="34" customHeight="1">
      <c r="A29" s="5" t="s">
        <v>64</v>
      </c>
      <c r="B29" s="6" t="s">
        <v>65</v>
      </c>
      <c r="C29" s="7">
        <f>'SE194171'!C19</f>
        <v>10</v>
      </c>
      <c r="D29" s="6" t="s">
        <v>8</v>
      </c>
    </row>
    <row r="30" spans="1:4" ht="40" customHeight="1">
      <c r="A30" s="5" t="s">
        <v>66</v>
      </c>
      <c r="B30" s="6" t="s">
        <v>67</v>
      </c>
      <c r="C30" s="7">
        <f>'SE194229'!C19</f>
        <v>5</v>
      </c>
      <c r="D30" s="6" t="s">
        <v>68</v>
      </c>
    </row>
    <row r="31" spans="1:4" ht="34" customHeight="1">
      <c r="A31" s="5" t="s">
        <v>69</v>
      </c>
      <c r="B31" s="6" t="s">
        <v>70</v>
      </c>
      <c r="C31" s="7">
        <f>'SE194776'!C19</f>
        <v>9.75</v>
      </c>
      <c r="D31" s="6" t="s">
        <v>71</v>
      </c>
    </row>
    <row r="32" spans="1:4" ht="34" customHeight="1">
      <c r="A32" s="5" t="s">
        <v>72</v>
      </c>
      <c r="B32" s="6" t="s">
        <v>73</v>
      </c>
      <c r="C32" s="7">
        <f>'SE196211'!C19</f>
        <v>10</v>
      </c>
      <c r="D32" s="6" t="s">
        <v>8</v>
      </c>
    </row>
    <row r="33" spans="1:4" ht="34" customHeight="1">
      <c r="A33" s="5" t="s">
        <v>74</v>
      </c>
      <c r="B33" s="6" t="s">
        <v>75</v>
      </c>
      <c r="C33" s="7">
        <f>'SE196429'!C19</f>
        <v>9.75</v>
      </c>
      <c r="D33" s="6" t="s">
        <v>76</v>
      </c>
    </row>
    <row r="34" spans="1:4" ht="34" customHeight="1">
      <c r="A34" s="5" t="s">
        <v>77</v>
      </c>
      <c r="B34" s="6" t="s">
        <v>78</v>
      </c>
      <c r="C34" s="7">
        <f>'SE196600'!C19</f>
        <v>8.5</v>
      </c>
      <c r="D34" s="6" t="s">
        <v>79</v>
      </c>
    </row>
    <row r="35" spans="1:4">
      <c r="A35" s="1"/>
      <c r="B35" s="1"/>
      <c r="C35" s="4"/>
      <c r="D35" s="1"/>
    </row>
    <row r="36" spans="1:4">
      <c r="A36" s="1"/>
      <c r="B36" s="10" t="s">
        <v>80</v>
      </c>
      <c r="C36" s="11">
        <f>AVERAGE(C6:C34)</f>
        <v>8.7931034482758612</v>
      </c>
      <c r="D36" s="1"/>
    </row>
    <row r="37" spans="1:4">
      <c r="A37" s="1"/>
      <c r="B37" s="10" t="s">
        <v>81</v>
      </c>
      <c r="C37" s="12">
        <f>COUNTA(A6:A34)</f>
        <v>29</v>
      </c>
      <c r="D37" s="1"/>
    </row>
    <row r="38" spans="1:4">
      <c r="A38" s="1"/>
      <c r="B38" s="1"/>
      <c r="C38" s="1"/>
      <c r="D38" s="1"/>
    </row>
    <row r="39" spans="1:4">
      <c r="A39" s="1" t="s">
        <v>82</v>
      </c>
      <c r="B39" s="1"/>
      <c r="C39" s="1"/>
      <c r="D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topLeftCell="A6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83</v>
      </c>
      <c r="B2" s="1"/>
      <c r="C2" s="1"/>
      <c r="D2" s="1" t="s">
        <v>7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117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showGridLines="0" topLeftCell="A5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118</v>
      </c>
      <c r="B2" s="1"/>
      <c r="C2" s="1"/>
      <c r="D2" s="1" t="s">
        <v>10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0.25</v>
      </c>
      <c r="D16" s="6" t="s">
        <v>119</v>
      </c>
    </row>
    <row r="17" spans="1:4" ht="30" customHeight="1">
      <c r="A17" s="6" t="s">
        <v>111</v>
      </c>
      <c r="B17" s="13">
        <v>0.5</v>
      </c>
      <c r="C17" s="13">
        <v>0.25</v>
      </c>
      <c r="D17" s="6" t="s">
        <v>120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9.5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121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showGridLines="0" topLeftCell="A4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122</v>
      </c>
      <c r="B2" s="1"/>
      <c r="C2" s="1"/>
      <c r="D2" s="1" t="s">
        <v>13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123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showGridLines="0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124</v>
      </c>
      <c r="B2" s="1"/>
      <c r="C2" s="1"/>
      <c r="D2" s="1" t="s">
        <v>15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125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showGridLines="0" topLeftCell="A6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126</v>
      </c>
      <c r="B2" s="1"/>
      <c r="C2" s="1"/>
      <c r="D2" s="1" t="s">
        <v>17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127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topLeftCell="A5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128</v>
      </c>
      <c r="B2" s="1"/>
      <c r="C2" s="1"/>
      <c r="D2" s="1" t="s">
        <v>19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55" customHeight="1">
      <c r="A7" s="6" t="s">
        <v>91</v>
      </c>
      <c r="B7" s="13">
        <v>2.5</v>
      </c>
      <c r="C7" s="13">
        <v>1.25</v>
      </c>
      <c r="D7" s="6" t="s">
        <v>129</v>
      </c>
    </row>
    <row r="8" spans="1:4" ht="30" customHeight="1">
      <c r="A8" s="6" t="s">
        <v>93</v>
      </c>
      <c r="B8" s="13">
        <v>1</v>
      </c>
      <c r="C8" s="13">
        <v>0</v>
      </c>
      <c r="D8" s="6" t="s">
        <v>130</v>
      </c>
    </row>
    <row r="9" spans="1:4" ht="30" customHeight="1">
      <c r="A9" s="6" t="s">
        <v>95</v>
      </c>
      <c r="B9" s="13">
        <v>0.5</v>
      </c>
      <c r="C9" s="13">
        <v>0</v>
      </c>
      <c r="D9" s="6" t="s">
        <v>131</v>
      </c>
    </row>
    <row r="10" spans="1:4" ht="30" customHeight="1">
      <c r="A10" s="6" t="s">
        <v>97</v>
      </c>
      <c r="B10" s="13">
        <v>0.5</v>
      </c>
      <c r="C10" s="13">
        <v>0</v>
      </c>
      <c r="D10" s="6" t="s">
        <v>132</v>
      </c>
    </row>
    <row r="11" spans="1:4" ht="30" customHeight="1">
      <c r="A11" s="6" t="s">
        <v>99</v>
      </c>
      <c r="B11" s="13">
        <v>0.5</v>
      </c>
      <c r="C11" s="13">
        <v>0</v>
      </c>
      <c r="D11" s="6" t="s">
        <v>133</v>
      </c>
    </row>
    <row r="12" spans="1:4" ht="30" customHeight="1">
      <c r="A12" s="6" t="s">
        <v>101</v>
      </c>
      <c r="B12" s="13">
        <v>0.5</v>
      </c>
      <c r="C12" s="13">
        <v>0</v>
      </c>
      <c r="D12" s="6" t="s">
        <v>134</v>
      </c>
    </row>
    <row r="13" spans="1:4" ht="30" customHeight="1">
      <c r="A13" s="6" t="s">
        <v>103</v>
      </c>
      <c r="B13" s="13">
        <v>0.5</v>
      </c>
      <c r="C13" s="13">
        <v>0</v>
      </c>
      <c r="D13" s="6" t="s">
        <v>135</v>
      </c>
    </row>
    <row r="14" spans="1:4" ht="30" customHeight="1">
      <c r="A14" s="6" t="s">
        <v>105</v>
      </c>
      <c r="B14" s="13">
        <v>1.5</v>
      </c>
      <c r="C14" s="13">
        <v>0</v>
      </c>
      <c r="D14" s="6" t="s">
        <v>136</v>
      </c>
    </row>
    <row r="15" spans="1:4" ht="30" customHeight="1">
      <c r="A15" s="6" t="s">
        <v>107</v>
      </c>
      <c r="B15" s="13">
        <v>0.5</v>
      </c>
      <c r="C15" s="13">
        <v>0</v>
      </c>
      <c r="D15" s="6" t="s">
        <v>137</v>
      </c>
    </row>
    <row r="16" spans="1:4" ht="30" customHeight="1">
      <c r="A16" s="6" t="s">
        <v>109</v>
      </c>
      <c r="B16" s="13">
        <v>0.5</v>
      </c>
      <c r="C16" s="13">
        <v>0</v>
      </c>
      <c r="D16" s="6" t="s">
        <v>138</v>
      </c>
    </row>
    <row r="17" spans="1:4" ht="30" customHeight="1">
      <c r="A17" s="6" t="s">
        <v>111</v>
      </c>
      <c r="B17" s="13">
        <v>0.5</v>
      </c>
      <c r="C17" s="13">
        <v>0</v>
      </c>
      <c r="D17" s="6" t="s">
        <v>139</v>
      </c>
    </row>
    <row r="18" spans="1:4" ht="30" customHeight="1">
      <c r="A18" s="6" t="s">
        <v>113</v>
      </c>
      <c r="B18" s="13">
        <v>0.5</v>
      </c>
      <c r="C18" s="13">
        <v>0</v>
      </c>
      <c r="D18" s="6" t="s">
        <v>140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1.75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141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topLeftCell="A6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142</v>
      </c>
      <c r="B2" s="1"/>
      <c r="C2" s="1"/>
      <c r="D2" s="1" t="s">
        <v>22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0.25</v>
      </c>
      <c r="D6" s="6" t="s">
        <v>143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9.75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144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showGridLines="0" topLeftCell="A3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145</v>
      </c>
      <c r="B2" s="1"/>
      <c r="C2" s="1"/>
      <c r="D2" s="1" t="s">
        <v>25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0</v>
      </c>
      <c r="D8" s="6" t="s">
        <v>146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0.75</v>
      </c>
      <c r="D14" s="6" t="s">
        <v>147</v>
      </c>
    </row>
    <row r="15" spans="1:4" ht="30" customHeight="1">
      <c r="A15" s="6" t="s">
        <v>107</v>
      </c>
      <c r="B15" s="13">
        <v>0.5</v>
      </c>
      <c r="C15" s="13">
        <v>0.25</v>
      </c>
      <c r="D15" s="6" t="s">
        <v>148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8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149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3"/>
  <sheetViews>
    <sheetView showGridLines="0" topLeftCell="A8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150</v>
      </c>
      <c r="B2" s="1"/>
      <c r="C2" s="1"/>
      <c r="D2" s="1" t="s">
        <v>28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40" customHeight="1">
      <c r="A6" s="6" t="s">
        <v>89</v>
      </c>
      <c r="B6" s="13">
        <v>0.5</v>
      </c>
      <c r="C6" s="13">
        <v>0.25</v>
      </c>
      <c r="D6" s="6" t="s">
        <v>151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9.75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152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3"/>
  <sheetViews>
    <sheetView showGridLines="0" topLeftCell="A7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153</v>
      </c>
      <c r="B2" s="1"/>
      <c r="C2" s="1"/>
      <c r="D2" s="1" t="s">
        <v>31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154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3"/>
  <sheetViews>
    <sheetView showGridLines="0" topLeftCell="A6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155</v>
      </c>
      <c r="B2" s="1"/>
      <c r="C2" s="1"/>
      <c r="D2" s="1" t="s">
        <v>33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</v>
      </c>
      <c r="D6" s="6" t="s">
        <v>156</v>
      </c>
    </row>
    <row r="7" spans="1:4" ht="30" customHeight="1">
      <c r="A7" s="6" t="s">
        <v>91</v>
      </c>
      <c r="B7" s="13">
        <v>2.5</v>
      </c>
      <c r="C7" s="13">
        <v>2</v>
      </c>
      <c r="D7" s="6" t="s">
        <v>157</v>
      </c>
    </row>
    <row r="8" spans="1:4" ht="30" customHeight="1">
      <c r="A8" s="6" t="s">
        <v>93</v>
      </c>
      <c r="B8" s="13">
        <v>1</v>
      </c>
      <c r="C8" s="13">
        <v>0</v>
      </c>
      <c r="D8" s="6" t="s">
        <v>158</v>
      </c>
    </row>
    <row r="9" spans="1:4" ht="30" customHeight="1">
      <c r="A9" s="6" t="s">
        <v>95</v>
      </c>
      <c r="B9" s="13">
        <v>0.5</v>
      </c>
      <c r="C9" s="13">
        <v>0</v>
      </c>
      <c r="D9" s="6" t="s">
        <v>159</v>
      </c>
    </row>
    <row r="10" spans="1:4" ht="30" customHeight="1">
      <c r="A10" s="6" t="s">
        <v>97</v>
      </c>
      <c r="B10" s="13">
        <v>0.5</v>
      </c>
      <c r="C10" s="13">
        <v>0</v>
      </c>
      <c r="D10" s="6" t="s">
        <v>160</v>
      </c>
    </row>
    <row r="11" spans="1:4" ht="30" customHeight="1">
      <c r="A11" s="6" t="s">
        <v>99</v>
      </c>
      <c r="B11" s="13">
        <v>0.5</v>
      </c>
      <c r="C11" s="13">
        <v>0</v>
      </c>
      <c r="D11" s="6" t="s">
        <v>161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0</v>
      </c>
      <c r="D14" s="6" t="s">
        <v>162</v>
      </c>
    </row>
    <row r="15" spans="1:4" ht="30" customHeight="1">
      <c r="A15" s="6" t="s">
        <v>107</v>
      </c>
      <c r="B15" s="13">
        <v>0.5</v>
      </c>
      <c r="C15" s="13">
        <v>0</v>
      </c>
      <c r="D15" s="6" t="s">
        <v>163</v>
      </c>
    </row>
    <row r="16" spans="1:4" ht="30" customHeight="1">
      <c r="A16" s="6" t="s">
        <v>109</v>
      </c>
      <c r="B16" s="13">
        <v>0.5</v>
      </c>
      <c r="C16" s="13">
        <v>0</v>
      </c>
      <c r="D16" s="6" t="s">
        <v>164</v>
      </c>
    </row>
    <row r="17" spans="1:4" ht="30" customHeight="1">
      <c r="A17" s="6" t="s">
        <v>111</v>
      </c>
      <c r="B17" s="13">
        <v>0.5</v>
      </c>
      <c r="C17" s="13">
        <v>0</v>
      </c>
      <c r="D17" s="6" t="s">
        <v>165</v>
      </c>
    </row>
    <row r="18" spans="1:4" ht="30" customHeight="1">
      <c r="A18" s="6" t="s">
        <v>113</v>
      </c>
      <c r="B18" s="13">
        <v>0.5</v>
      </c>
      <c r="C18" s="13">
        <v>0</v>
      </c>
      <c r="D18" s="6" t="s">
        <v>166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3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167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3"/>
  <sheetViews>
    <sheetView showGridLines="0" topLeftCell="A6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168</v>
      </c>
      <c r="B2" s="1"/>
      <c r="C2" s="1"/>
      <c r="D2" s="1" t="s">
        <v>36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169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3"/>
  <sheetViews>
    <sheetView showGridLines="0" topLeftCell="A9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170</v>
      </c>
      <c r="B2" s="1"/>
      <c r="C2" s="1"/>
      <c r="D2" s="1" t="s">
        <v>38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0.25</v>
      </c>
      <c r="D6" s="6" t="s">
        <v>171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40" customHeight="1">
      <c r="A9" s="6" t="s">
        <v>95</v>
      </c>
      <c r="B9" s="13">
        <v>0.5</v>
      </c>
      <c r="C9" s="13">
        <v>0.25</v>
      </c>
      <c r="D9" s="6" t="s">
        <v>172</v>
      </c>
    </row>
    <row r="10" spans="1:4" ht="30" customHeight="1">
      <c r="A10" s="6" t="s">
        <v>97</v>
      </c>
      <c r="B10" s="13">
        <v>0.5</v>
      </c>
      <c r="C10" s="13">
        <v>0.25</v>
      </c>
      <c r="D10" s="6" t="s">
        <v>173</v>
      </c>
    </row>
    <row r="11" spans="1:4" ht="30" customHeight="1">
      <c r="A11" s="6" t="s">
        <v>99</v>
      </c>
      <c r="B11" s="13">
        <v>0.5</v>
      </c>
      <c r="C11" s="13">
        <v>0.25</v>
      </c>
      <c r="D11" s="6" t="s">
        <v>174</v>
      </c>
    </row>
    <row r="12" spans="1:4" ht="30" customHeight="1">
      <c r="A12" s="6" t="s">
        <v>101</v>
      </c>
      <c r="B12" s="13">
        <v>0.5</v>
      </c>
      <c r="C12" s="13">
        <v>0.25</v>
      </c>
      <c r="D12" s="6" t="s">
        <v>175</v>
      </c>
    </row>
    <row r="13" spans="1:4" ht="30" customHeight="1">
      <c r="A13" s="6" t="s">
        <v>103</v>
      </c>
      <c r="B13" s="13">
        <v>0.5</v>
      </c>
      <c r="C13" s="13">
        <v>0.25</v>
      </c>
      <c r="D13" s="6" t="s">
        <v>176</v>
      </c>
    </row>
    <row r="14" spans="1:4" ht="40" customHeight="1">
      <c r="A14" s="6" t="s">
        <v>105</v>
      </c>
      <c r="B14" s="13">
        <v>1.5</v>
      </c>
      <c r="C14" s="13">
        <v>0.75</v>
      </c>
      <c r="D14" s="6" t="s">
        <v>177</v>
      </c>
    </row>
    <row r="15" spans="1:4" ht="30" customHeight="1">
      <c r="A15" s="6" t="s">
        <v>107</v>
      </c>
      <c r="B15" s="13">
        <v>0.5</v>
      </c>
      <c r="C15" s="13">
        <v>0.25</v>
      </c>
      <c r="D15" s="6" t="s">
        <v>178</v>
      </c>
    </row>
    <row r="16" spans="1:4" ht="30" customHeight="1">
      <c r="A16" s="6" t="s">
        <v>109</v>
      </c>
      <c r="B16" s="13">
        <v>0.5</v>
      </c>
      <c r="C16" s="13">
        <v>0.25</v>
      </c>
      <c r="D16" s="6" t="s">
        <v>179</v>
      </c>
    </row>
    <row r="17" spans="1:4" ht="30" customHeight="1">
      <c r="A17" s="6" t="s">
        <v>111</v>
      </c>
      <c r="B17" s="13">
        <v>0.5</v>
      </c>
      <c r="C17" s="13">
        <v>0.25</v>
      </c>
      <c r="D17" s="6" t="s">
        <v>180</v>
      </c>
    </row>
    <row r="18" spans="1:4" ht="30" customHeight="1">
      <c r="A18" s="6" t="s">
        <v>113</v>
      </c>
      <c r="B18" s="13">
        <v>0.5</v>
      </c>
      <c r="C18" s="13">
        <v>0.25</v>
      </c>
      <c r="D18" s="6" t="s">
        <v>181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6.75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182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3"/>
  <sheetViews>
    <sheetView showGridLines="0" topLeftCell="A7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183</v>
      </c>
      <c r="B2" s="1"/>
      <c r="C2" s="1"/>
      <c r="D2" s="1" t="s">
        <v>41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184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3"/>
  <sheetViews>
    <sheetView showGridLines="0" tabSelected="1" topLeftCell="A7" workbookViewId="0">
      <selection activeCell="D24" sqref="D24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185</v>
      </c>
      <c r="B2" s="1"/>
      <c r="C2" s="1"/>
      <c r="D2" s="1" t="s">
        <v>43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169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3"/>
  <sheetViews>
    <sheetView showGridLines="0" topLeftCell="A4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186</v>
      </c>
      <c r="B2" s="1"/>
      <c r="C2" s="1"/>
      <c r="D2" s="1" t="s">
        <v>45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187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3"/>
  <sheetViews>
    <sheetView showGridLines="0" topLeftCell="A5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188</v>
      </c>
      <c r="B2" s="1"/>
      <c r="C2" s="1"/>
      <c r="D2" s="1" t="s">
        <v>47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123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3"/>
  <sheetViews>
    <sheetView showGridLines="0" topLeftCell="A5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189</v>
      </c>
      <c r="B2" s="1"/>
      <c r="C2" s="1"/>
      <c r="D2" s="1" t="s">
        <v>49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</v>
      </c>
      <c r="D6" s="6" t="s">
        <v>190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</v>
      </c>
      <c r="D18" s="6" t="s">
        <v>191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9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192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3"/>
  <sheetViews>
    <sheetView showGridLines="0" topLeftCell="A6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193</v>
      </c>
      <c r="B2" s="1"/>
      <c r="C2" s="1"/>
      <c r="D2" s="1" t="s">
        <v>52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</v>
      </c>
      <c r="D7" s="6" t="s">
        <v>194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0.25</v>
      </c>
      <c r="D16" s="6" t="s">
        <v>195</v>
      </c>
    </row>
    <row r="17" spans="1:4" ht="30" customHeight="1">
      <c r="A17" s="6" t="s">
        <v>111</v>
      </c>
      <c r="B17" s="13">
        <v>0.5</v>
      </c>
      <c r="C17" s="13">
        <v>0.25</v>
      </c>
      <c r="D17" s="6" t="s">
        <v>196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9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197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3"/>
  <sheetViews>
    <sheetView showGridLines="0" topLeftCell="A7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198</v>
      </c>
      <c r="B2" s="1"/>
      <c r="C2" s="1"/>
      <c r="D2" s="1" t="s">
        <v>55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40" customHeight="1">
      <c r="A7" s="6" t="s">
        <v>91</v>
      </c>
      <c r="B7" s="13">
        <v>2.5</v>
      </c>
      <c r="C7" s="13">
        <v>2</v>
      </c>
      <c r="D7" s="6" t="s">
        <v>199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9.5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200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3"/>
  <sheetViews>
    <sheetView showGridLines="0" topLeftCell="A7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201</v>
      </c>
      <c r="B2" s="1"/>
      <c r="C2" s="1"/>
      <c r="D2" s="1" t="s">
        <v>58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40" customHeight="1">
      <c r="A7" s="6" t="s">
        <v>91</v>
      </c>
      <c r="B7" s="13">
        <v>2.5</v>
      </c>
      <c r="C7" s="13">
        <v>2</v>
      </c>
      <c r="D7" s="6" t="s">
        <v>202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</v>
      </c>
      <c r="D10" s="6" t="s">
        <v>160</v>
      </c>
    </row>
    <row r="11" spans="1:4" ht="30" customHeight="1">
      <c r="A11" s="6" t="s">
        <v>99</v>
      </c>
      <c r="B11" s="13">
        <v>0.5</v>
      </c>
      <c r="C11" s="13">
        <v>0</v>
      </c>
      <c r="D11" s="6" t="s">
        <v>161</v>
      </c>
    </row>
    <row r="12" spans="1:4" ht="30" customHeight="1">
      <c r="A12" s="6" t="s">
        <v>101</v>
      </c>
      <c r="B12" s="13">
        <v>0.5</v>
      </c>
      <c r="C12" s="13">
        <v>0</v>
      </c>
      <c r="D12" s="6" t="s">
        <v>203</v>
      </c>
    </row>
    <row r="13" spans="1:4" ht="30" customHeight="1">
      <c r="A13" s="6" t="s">
        <v>103</v>
      </c>
      <c r="B13" s="13">
        <v>0.5</v>
      </c>
      <c r="C13" s="13">
        <v>0</v>
      </c>
      <c r="D13" s="6" t="s">
        <v>204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0.25</v>
      </c>
      <c r="D16" s="6" t="s">
        <v>205</v>
      </c>
    </row>
    <row r="17" spans="1:4" ht="30" customHeight="1">
      <c r="A17" s="6" t="s">
        <v>111</v>
      </c>
      <c r="B17" s="13">
        <v>0.5</v>
      </c>
      <c r="C17" s="13">
        <v>0.25</v>
      </c>
      <c r="D17" s="6" t="s">
        <v>206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7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207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3"/>
  <sheetViews>
    <sheetView showGridLines="0" topLeftCell="A7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208</v>
      </c>
      <c r="B2" s="1"/>
      <c r="C2" s="1"/>
      <c r="D2" s="1" t="s">
        <v>61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123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3"/>
  <sheetViews>
    <sheetView showGridLines="0" topLeftCell="A6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209</v>
      </c>
      <c r="B2" s="1"/>
      <c r="C2" s="1"/>
      <c r="D2" s="1" t="s">
        <v>63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</v>
      </c>
      <c r="D6" s="6" t="s">
        <v>190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</v>
      </c>
      <c r="D18" s="6" t="s">
        <v>191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9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192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3"/>
  <sheetViews>
    <sheetView showGridLines="0" topLeftCell="A3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210</v>
      </c>
      <c r="B2" s="1"/>
      <c r="C2" s="1"/>
      <c r="D2" s="1" t="s">
        <v>65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123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3"/>
  <sheetViews>
    <sheetView showGridLines="0" topLeftCell="A7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211</v>
      </c>
      <c r="B2" s="1"/>
      <c r="C2" s="1"/>
      <c r="D2" s="1" t="s">
        <v>67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40" customHeight="1">
      <c r="A7" s="6" t="s">
        <v>91</v>
      </c>
      <c r="B7" s="13">
        <v>2.5</v>
      </c>
      <c r="C7" s="13">
        <v>1.25</v>
      </c>
      <c r="D7" s="6" t="s">
        <v>212</v>
      </c>
    </row>
    <row r="8" spans="1:4" ht="40" customHeight="1">
      <c r="A8" s="6" t="s">
        <v>93</v>
      </c>
      <c r="B8" s="13">
        <v>1</v>
      </c>
      <c r="C8" s="13">
        <v>0.5</v>
      </c>
      <c r="D8" s="6" t="s">
        <v>213</v>
      </c>
    </row>
    <row r="9" spans="1:4" ht="30" customHeight="1">
      <c r="A9" s="6" t="s">
        <v>95</v>
      </c>
      <c r="B9" s="13">
        <v>0.5</v>
      </c>
      <c r="C9" s="13">
        <v>0.25</v>
      </c>
      <c r="D9" s="6" t="s">
        <v>214</v>
      </c>
    </row>
    <row r="10" spans="1:4" ht="30" customHeight="1">
      <c r="A10" s="6" t="s">
        <v>97</v>
      </c>
      <c r="B10" s="13">
        <v>0.5</v>
      </c>
      <c r="C10" s="13">
        <v>0.25</v>
      </c>
      <c r="D10" s="6" t="s">
        <v>215</v>
      </c>
    </row>
    <row r="11" spans="1:4" ht="30" customHeight="1">
      <c r="A11" s="6" t="s">
        <v>99</v>
      </c>
      <c r="B11" s="13">
        <v>0.5</v>
      </c>
      <c r="C11" s="13">
        <v>0.25</v>
      </c>
      <c r="D11" s="6" t="s">
        <v>216</v>
      </c>
    </row>
    <row r="12" spans="1:4" ht="30" customHeight="1">
      <c r="A12" s="6" t="s">
        <v>101</v>
      </c>
      <c r="B12" s="13">
        <v>0.5</v>
      </c>
      <c r="C12" s="13">
        <v>0.25</v>
      </c>
      <c r="D12" s="6" t="s">
        <v>217</v>
      </c>
    </row>
    <row r="13" spans="1:4" ht="30" customHeight="1">
      <c r="A13" s="6" t="s">
        <v>103</v>
      </c>
      <c r="B13" s="13">
        <v>0.5</v>
      </c>
      <c r="C13" s="13">
        <v>0.25</v>
      </c>
      <c r="D13" s="6" t="s">
        <v>218</v>
      </c>
    </row>
    <row r="14" spans="1:4" ht="40" customHeight="1">
      <c r="A14" s="6" t="s">
        <v>105</v>
      </c>
      <c r="B14" s="13">
        <v>1.5</v>
      </c>
      <c r="C14" s="13">
        <v>0.75</v>
      </c>
      <c r="D14" s="6" t="s">
        <v>219</v>
      </c>
    </row>
    <row r="15" spans="1:4" ht="40" customHeight="1">
      <c r="A15" s="6" t="s">
        <v>107</v>
      </c>
      <c r="B15" s="13">
        <v>0.5</v>
      </c>
      <c r="C15" s="13">
        <v>0.25</v>
      </c>
      <c r="D15" s="6" t="s">
        <v>220</v>
      </c>
    </row>
    <row r="16" spans="1:4" ht="30" customHeight="1">
      <c r="A16" s="6" t="s">
        <v>109</v>
      </c>
      <c r="B16" s="13">
        <v>0.5</v>
      </c>
      <c r="C16" s="13">
        <v>0.25</v>
      </c>
      <c r="D16" s="6" t="s">
        <v>221</v>
      </c>
    </row>
    <row r="17" spans="1:4" ht="30" customHeight="1">
      <c r="A17" s="6" t="s">
        <v>111</v>
      </c>
      <c r="B17" s="13">
        <v>0.5</v>
      </c>
      <c r="C17" s="13">
        <v>0.25</v>
      </c>
      <c r="D17" s="6" t="s">
        <v>222</v>
      </c>
    </row>
    <row r="18" spans="1:4" ht="30" customHeight="1">
      <c r="A18" s="6" t="s">
        <v>113</v>
      </c>
      <c r="B18" s="13">
        <v>0.5</v>
      </c>
      <c r="C18" s="13">
        <v>0</v>
      </c>
      <c r="D18" s="6" t="s">
        <v>223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5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224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3"/>
  <sheetViews>
    <sheetView showGridLines="0" topLeftCell="A7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225</v>
      </c>
      <c r="B2" s="1"/>
      <c r="C2" s="1"/>
      <c r="D2" s="1" t="s">
        <v>70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40" customHeight="1">
      <c r="A16" s="6" t="s">
        <v>109</v>
      </c>
      <c r="B16" s="13">
        <v>0.5</v>
      </c>
      <c r="C16" s="13">
        <v>0.25</v>
      </c>
      <c r="D16" s="6" t="s">
        <v>226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9.75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227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3"/>
  <sheetViews>
    <sheetView showGridLines="0" topLeftCell="A6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228</v>
      </c>
      <c r="B2" s="1"/>
      <c r="C2" s="1"/>
      <c r="D2" s="1" t="s">
        <v>73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10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229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3"/>
  <sheetViews>
    <sheetView showGridLines="0" topLeftCell="A6" workbookViewId="0">
      <selection activeCell="D23" sqref="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230</v>
      </c>
      <c r="B2" s="1"/>
      <c r="C2" s="1"/>
      <c r="D2" s="1" t="s">
        <v>75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0.25</v>
      </c>
      <c r="D6" s="6" t="s">
        <v>231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0.5</v>
      </c>
      <c r="D16" s="6" t="s">
        <v>110</v>
      </c>
    </row>
    <row r="17" spans="1:4" ht="30" customHeight="1">
      <c r="A17" s="6" t="s">
        <v>111</v>
      </c>
      <c r="B17" s="13">
        <v>0.5</v>
      </c>
      <c r="C17" s="13">
        <v>0.5</v>
      </c>
      <c r="D17" s="6" t="s">
        <v>112</v>
      </c>
    </row>
    <row r="18" spans="1:4" ht="30" customHeight="1">
      <c r="A18" s="6" t="s">
        <v>113</v>
      </c>
      <c r="B18" s="13">
        <v>0.5</v>
      </c>
      <c r="C18" s="13">
        <v>0.5</v>
      </c>
      <c r="D18" s="6" t="s">
        <v>114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9.75</v>
      </c>
      <c r="D19" s="8"/>
    </row>
    <row r="20" spans="1:4">
      <c r="A20" s="1"/>
      <c r="B20" s="1"/>
      <c r="C20" s="1"/>
      <c r="D20" s="1"/>
    </row>
    <row r="21" spans="1:4" ht="55" customHeight="1">
      <c r="A21" s="10" t="s">
        <v>116</v>
      </c>
      <c r="B21" s="1"/>
      <c r="C21" s="1"/>
      <c r="D21" s="3" t="s">
        <v>232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3"/>
  <sheetViews>
    <sheetView showGridLines="0" topLeftCell="A7" workbookViewId="0">
      <selection activeCell="A23" sqref="A23:XFD23"/>
    </sheetView>
  </sheetViews>
  <sheetFormatPr baseColWidth="10" defaultColWidth="8.83203125" defaultRowHeight="14"/>
  <cols>
    <col min="1" max="1" width="40" customWidth="1"/>
    <col min="2" max="3" width="12" customWidth="1"/>
    <col min="4" max="4" width="94" customWidth="1"/>
  </cols>
  <sheetData>
    <row r="1" spans="1:4">
      <c r="A1" s="1"/>
      <c r="B1" s="1"/>
      <c r="C1" s="1"/>
      <c r="D1" s="1"/>
    </row>
    <row r="2" spans="1:4" ht="18">
      <c r="A2" s="2" t="s">
        <v>233</v>
      </c>
      <c r="B2" s="1"/>
      <c r="C2" s="1"/>
      <c r="D2" s="1" t="s">
        <v>78</v>
      </c>
    </row>
    <row r="3" spans="1:4">
      <c r="A3" s="1" t="s">
        <v>84</v>
      </c>
      <c r="B3" s="1"/>
      <c r="C3" s="1"/>
      <c r="D3" s="1"/>
    </row>
    <row r="4" spans="1:4">
      <c r="A4" s="1"/>
      <c r="B4" s="1"/>
      <c r="C4" s="1"/>
      <c r="D4" s="1"/>
    </row>
    <row r="5" spans="1:4" ht="28" customHeight="1">
      <c r="A5" s="9" t="s">
        <v>85</v>
      </c>
      <c r="B5" s="9" t="s">
        <v>86</v>
      </c>
      <c r="C5" s="9" t="s">
        <v>87</v>
      </c>
      <c r="D5" s="9" t="s">
        <v>88</v>
      </c>
    </row>
    <row r="6" spans="1:4" ht="30" customHeight="1">
      <c r="A6" s="6" t="s">
        <v>89</v>
      </c>
      <c r="B6" s="13">
        <v>0.5</v>
      </c>
      <c r="C6" s="13">
        <v>0.5</v>
      </c>
      <c r="D6" s="6" t="s">
        <v>90</v>
      </c>
    </row>
    <row r="7" spans="1:4" ht="30" customHeight="1">
      <c r="A7" s="6" t="s">
        <v>91</v>
      </c>
      <c r="B7" s="13">
        <v>2.5</v>
      </c>
      <c r="C7" s="13">
        <v>2.5</v>
      </c>
      <c r="D7" s="6" t="s">
        <v>92</v>
      </c>
    </row>
    <row r="8" spans="1:4" ht="30" customHeight="1">
      <c r="A8" s="6" t="s">
        <v>93</v>
      </c>
      <c r="B8" s="13">
        <v>1</v>
      </c>
      <c r="C8" s="13">
        <v>1</v>
      </c>
      <c r="D8" s="6" t="s">
        <v>94</v>
      </c>
    </row>
    <row r="9" spans="1:4" ht="30" customHeight="1">
      <c r="A9" s="6" t="s">
        <v>95</v>
      </c>
      <c r="B9" s="13">
        <v>0.5</v>
      </c>
      <c r="C9" s="13">
        <v>0.5</v>
      </c>
      <c r="D9" s="6" t="s">
        <v>96</v>
      </c>
    </row>
    <row r="10" spans="1:4" ht="30" customHeight="1">
      <c r="A10" s="6" t="s">
        <v>97</v>
      </c>
      <c r="B10" s="13">
        <v>0.5</v>
      </c>
      <c r="C10" s="13">
        <v>0.5</v>
      </c>
      <c r="D10" s="6" t="s">
        <v>98</v>
      </c>
    </row>
    <row r="11" spans="1:4" ht="30" customHeight="1">
      <c r="A11" s="6" t="s">
        <v>99</v>
      </c>
      <c r="B11" s="13">
        <v>0.5</v>
      </c>
      <c r="C11" s="13">
        <v>0.5</v>
      </c>
      <c r="D11" s="6" t="s">
        <v>100</v>
      </c>
    </row>
    <row r="12" spans="1:4" ht="30" customHeight="1">
      <c r="A12" s="6" t="s">
        <v>101</v>
      </c>
      <c r="B12" s="13">
        <v>0.5</v>
      </c>
      <c r="C12" s="13">
        <v>0.5</v>
      </c>
      <c r="D12" s="6" t="s">
        <v>102</v>
      </c>
    </row>
    <row r="13" spans="1:4" ht="30" customHeight="1">
      <c r="A13" s="6" t="s">
        <v>103</v>
      </c>
      <c r="B13" s="13">
        <v>0.5</v>
      </c>
      <c r="C13" s="13">
        <v>0.5</v>
      </c>
      <c r="D13" s="6" t="s">
        <v>104</v>
      </c>
    </row>
    <row r="14" spans="1:4" ht="30" customHeight="1">
      <c r="A14" s="6" t="s">
        <v>105</v>
      </c>
      <c r="B14" s="13">
        <v>1.5</v>
      </c>
      <c r="C14" s="13">
        <v>1.5</v>
      </c>
      <c r="D14" s="6" t="s">
        <v>106</v>
      </c>
    </row>
    <row r="15" spans="1:4" ht="30" customHeight="1">
      <c r="A15" s="6" t="s">
        <v>107</v>
      </c>
      <c r="B15" s="13">
        <v>0.5</v>
      </c>
      <c r="C15" s="13">
        <v>0.5</v>
      </c>
      <c r="D15" s="6" t="s">
        <v>108</v>
      </c>
    </row>
    <row r="16" spans="1:4" ht="30" customHeight="1">
      <c r="A16" s="6" t="s">
        <v>109</v>
      </c>
      <c r="B16" s="13">
        <v>0.5</v>
      </c>
      <c r="C16" s="13">
        <v>0</v>
      </c>
      <c r="D16" s="6" t="s">
        <v>234</v>
      </c>
    </row>
    <row r="17" spans="1:4" ht="30" customHeight="1">
      <c r="A17" s="6" t="s">
        <v>111</v>
      </c>
      <c r="B17" s="13">
        <v>0.5</v>
      </c>
      <c r="C17" s="13">
        <v>0</v>
      </c>
      <c r="D17" s="6" t="s">
        <v>235</v>
      </c>
    </row>
    <row r="18" spans="1:4" ht="30" customHeight="1">
      <c r="A18" s="6" t="s">
        <v>113</v>
      </c>
      <c r="B18" s="13">
        <v>0.5</v>
      </c>
      <c r="C18" s="13">
        <v>0</v>
      </c>
      <c r="D18" s="6" t="s">
        <v>236</v>
      </c>
    </row>
    <row r="19" spans="1:4" ht="28" customHeight="1">
      <c r="A19" s="8" t="s">
        <v>115</v>
      </c>
      <c r="B19" s="14">
        <f>SUM(B6:B18)</f>
        <v>10</v>
      </c>
      <c r="C19" s="14">
        <f>SUM(C6:C18)</f>
        <v>8.5</v>
      </c>
      <c r="D19" s="8"/>
    </row>
    <row r="20" spans="1:4">
      <c r="A20" s="1"/>
      <c r="B20" s="1"/>
      <c r="C20" s="1"/>
      <c r="D20" s="1"/>
    </row>
    <row r="21" spans="1:4" ht="40" customHeight="1">
      <c r="A21" s="10" t="s">
        <v>116</v>
      </c>
      <c r="B21" s="1"/>
      <c r="C21" s="1"/>
      <c r="D21" s="3" t="s">
        <v>237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Summary</vt:lpstr>
      <vt:lpstr>DE190260</vt:lpstr>
      <vt:lpstr>SE170502</vt:lpstr>
      <vt:lpstr>SE180035</vt:lpstr>
      <vt:lpstr>SE180644</vt:lpstr>
      <vt:lpstr>SE181598</vt:lpstr>
      <vt:lpstr>SE181813</vt:lpstr>
      <vt:lpstr>SE181964</vt:lpstr>
      <vt:lpstr>SE182136</vt:lpstr>
      <vt:lpstr>SE182306</vt:lpstr>
      <vt:lpstr>SE182374</vt:lpstr>
      <vt:lpstr>SE183061</vt:lpstr>
      <vt:lpstr>SE183175</vt:lpstr>
      <vt:lpstr>SE184045</vt:lpstr>
      <vt:lpstr>SE184158</vt:lpstr>
      <vt:lpstr>SE184327</vt:lpstr>
      <vt:lpstr>SE184426</vt:lpstr>
      <vt:lpstr>SE190024</vt:lpstr>
      <vt:lpstr>SE190668</vt:lpstr>
      <vt:lpstr>SE190703</vt:lpstr>
      <vt:lpstr>SE192211</vt:lpstr>
      <vt:lpstr>SE192324</vt:lpstr>
      <vt:lpstr>SE192966</vt:lpstr>
      <vt:lpstr>SE193254</vt:lpstr>
      <vt:lpstr>SE194171</vt:lpstr>
      <vt:lpstr>SE194229</vt:lpstr>
      <vt:lpstr>SE194776</vt:lpstr>
      <vt:lpstr>SE196211</vt:lpstr>
      <vt:lpstr>SE196429</vt:lpstr>
      <vt:lpstr>SE196600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Eric.fe</cp:lastModifiedBy>
  <dcterms:modified xsi:type="dcterms:W3CDTF">2026-10-01T14:47:25Z</dcterms:modified>
</cp:coreProperties>
</file>